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dzy\Downloads\"/>
    </mc:Choice>
  </mc:AlternateContent>
  <xr:revisionPtr revIDLastSave="0" documentId="13_ncr:1_{E382C30E-FD77-45E8-98F0-CF0BB2B51126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Summary" sheetId="1" r:id="rId1"/>
    <sheet name="Weekly Analysis" sheetId="2" r:id="rId2"/>
    <sheet name="Customer Group Analysis" sheetId="3" r:id="rId3"/>
    <sheet name="Customer Status by Group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3" l="1"/>
  <c r="E7" i="3" s="1"/>
  <c r="C7" i="3"/>
  <c r="B7" i="3"/>
  <c r="G6" i="3"/>
  <c r="H6" i="3" s="1"/>
  <c r="F6" i="3"/>
  <c r="E6" i="3"/>
  <c r="H5" i="3"/>
  <c r="G5" i="3"/>
  <c r="F5" i="3"/>
  <c r="E5" i="3"/>
  <c r="H4" i="3"/>
  <c r="G4" i="3"/>
  <c r="F4" i="3"/>
  <c r="E4" i="3"/>
  <c r="G3" i="3"/>
  <c r="G7" i="3" s="1"/>
  <c r="F3" i="3"/>
  <c r="F7" i="3" s="1"/>
  <c r="E3" i="3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B24" i="1"/>
  <c r="B19" i="1"/>
  <c r="B17" i="1"/>
  <c r="E12" i="1"/>
  <c r="C12" i="1"/>
  <c r="E11" i="1"/>
  <c r="C11" i="1"/>
  <c r="E10" i="1"/>
  <c r="C10" i="1"/>
  <c r="E9" i="1"/>
  <c r="H3" i="3" l="1"/>
  <c r="H7" i="3" s="1"/>
</calcChain>
</file>

<file path=xl/sharedStrings.xml><?xml version="1.0" encoding="utf-8"?>
<sst xmlns="http://schemas.openxmlformats.org/spreadsheetml/2006/main" count="58" uniqueCount="49">
  <si>
    <t>COVID-19 Impact on Parcel Delivery — Excel Verification</t>
  </si>
  <si>
    <t>Source: COVID_Parcel_Business.csv  |  Analysis by Group 6  |  $22/parcel base rate</t>
  </si>
  <si>
    <t>Total 2020 Parcels</t>
  </si>
  <si>
    <t>YoY Growth (2019→2020)</t>
  </si>
  <si>
    <t>ISGR (Wk 1-15)</t>
  </si>
  <si>
    <t>Peak Season Growth</t>
  </si>
  <si>
    <t>Total COVID Rev Uplift</t>
  </si>
  <si>
    <t>Yearly Parcel Volume</t>
  </si>
  <si>
    <t>YoY Growth</t>
  </si>
  <si>
    <t>Verification vs Python</t>
  </si>
  <si>
    <t>Year</t>
  </si>
  <si>
    <t>Total Parcels</t>
  </si>
  <si>
    <t>Growth %</t>
  </si>
  <si>
    <t>Python Result</t>
  </si>
  <si>
    <t>Match?</t>
  </si>
  <si>
    <t>—</t>
  </si>
  <si>
    <t>ISGR Verification (Industry Standard Growth Rate)</t>
  </si>
  <si>
    <t>Pre-COVID Vol 2019 (Wk 1–15)</t>
  </si>
  <si>
    <t>Pre-COVID Vol 2020 (Wk 1–15)</t>
  </si>
  <si>
    <t>ISGR Formula</t>
  </si>
  <si>
    <t>Python ISGR</t>
  </si>
  <si>
    <t>Peak Season Verification</t>
  </si>
  <si>
    <t>Peak Volume 2019-20 (Wk45–53'19 + Wk1–3'20)</t>
  </si>
  <si>
    <t>Peak Volume 2020-21 (Wk45–53'20 + Wk1–3'21)</t>
  </si>
  <si>
    <t>Peak Growth %</t>
  </si>
  <si>
    <t>Weekly Parcel Volume: 2019 vs 2020</t>
  </si>
  <si>
    <t>Week</t>
  </si>
  <si>
    <t>Vol 2019</t>
  </si>
  <si>
    <t>Vol 2020</t>
  </si>
  <si>
    <t>Difference</t>
  </si>
  <si>
    <t>% Change</t>
  </si>
  <si>
    <t>Customer Group: Volume &amp; Revenue Impact (2019 vs 2020)</t>
  </si>
  <si>
    <t>Group</t>
  </si>
  <si>
    <t>Customers</t>
  </si>
  <si>
    <t>Vol Growth %</t>
  </si>
  <si>
    <t>Rev 2019 ($)</t>
  </si>
  <si>
    <t>Rev 2020 ($)</t>
  </si>
  <si>
    <t>Rev Uplift ($)</t>
  </si>
  <si>
    <t>Enterprise</t>
  </si>
  <si>
    <t>Large</t>
  </si>
  <si>
    <t>Medium</t>
  </si>
  <si>
    <t>Small</t>
  </si>
  <si>
    <t>TOTAL</t>
  </si>
  <si>
    <t>Customer Status During COVID Period — by Group (%)</t>
  </si>
  <si>
    <t>New</t>
  </si>
  <si>
    <t>High Growth</t>
  </si>
  <si>
    <t>Stable</t>
  </si>
  <si>
    <t>Declining</t>
  </si>
  <si>
    <t>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</si>
</sst>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0"/>
      <color rgb="FFFFFFFF"/>
      <name val="Calibri"/>
      <charset val="1"/>
    </font>
    <font>
      <b/>
      <sz val="13"/>
      <color rgb="FF1B4F72"/>
      <name val="Calibri"/>
      <charset val="1"/>
    </font>
    <font>
      <b/>
      <sz val="11"/>
      <color rgb="FFFFFFFF"/>
      <name val="Calibri"/>
      <charset val="1"/>
    </font>
    <font>
      <sz val="11"/>
      <color rgb="FF1C2833"/>
      <name val="Calibri"/>
      <charset val="1"/>
    </font>
    <font>
      <sz val="11"/>
      <color rgb="FF1A6B52"/>
      <name val="Calibri"/>
      <charset val="1"/>
    </font>
    <font>
      <sz val="11"/>
      <name val="Calibri"/>
      <charset val="1"/>
    </font>
    <font>
      <b/>
      <sz val="13"/>
      <color rgb="FFFFFFFF"/>
      <name val="Calibri"/>
      <charset val="1"/>
    </font>
    <font>
      <b/>
      <sz val="11"/>
      <color rgb="FF1A6B52"/>
      <name val="Calibri"/>
      <charset val="1"/>
    </font>
    <font>
      <b/>
      <sz val="11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1B4F72"/>
        <bgColor rgb="FF1A6B52"/>
      </patternFill>
    </fill>
    <fill>
      <patternFill patternType="solid">
        <fgColor rgb="FF17A589"/>
        <bgColor rgb="FF008080"/>
      </patternFill>
    </fill>
    <fill>
      <patternFill patternType="solid">
        <fgColor rgb="FF5D6D7E"/>
        <bgColor rgb="FF878787"/>
      </patternFill>
    </fill>
    <fill>
      <patternFill patternType="solid">
        <fgColor rgb="FFEBF5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EF9E7"/>
        <bgColor rgb="FFF9F9F9"/>
      </patternFill>
    </fill>
    <fill>
      <patternFill patternType="solid">
        <fgColor rgb="FF7D3C98"/>
        <bgColor rgb="FF993366"/>
      </patternFill>
    </fill>
    <fill>
      <patternFill patternType="solid">
        <fgColor rgb="FF2E86C1"/>
        <bgColor rgb="FF17A589"/>
      </patternFill>
    </fill>
    <fill>
      <patternFill patternType="solid">
        <fgColor rgb="FF2ECC71"/>
        <bgColor rgb="FF17A589"/>
      </patternFill>
    </fill>
    <fill>
      <patternFill patternType="solid">
        <fgColor rgb="FFE67E22"/>
        <bgColor rgb="FFFF9900"/>
      </patternFill>
    </fill>
    <fill>
      <patternFill patternType="solid">
        <fgColor rgb="FFE74C3C"/>
        <bgColor rgb="FFE67E22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" fontId="5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/>
    </xf>
    <xf numFmtId="0" fontId="5" fillId="5" borderId="1" xfId="0" applyFont="1" applyFill="1" applyBorder="1" applyAlignment="1">
      <alignment horizontal="left" vertical="center"/>
    </xf>
    <xf numFmtId="0" fontId="0" fillId="0" borderId="1" xfId="0" applyBorder="1"/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/>
    </xf>
    <xf numFmtId="164" fontId="5" fillId="6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/>
    </xf>
    <xf numFmtId="164" fontId="7" fillId="7" borderId="1" xfId="0" applyNumberFormat="1" applyFont="1" applyFill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/>
    </xf>
    <xf numFmtId="164" fontId="10" fillId="5" borderId="1" xfId="0" applyNumberFormat="1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164" fontId="10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52"/>
      <rgbColor rgb="FFD9D9D9"/>
      <rgbColor rgb="FF878787"/>
      <rgbColor rgb="FF9999FF"/>
      <rgbColor rgb="FF7D3C98"/>
      <rgbColor rgb="FFFEF9E7"/>
      <rgbColor rgb="FFEBF5FB"/>
      <rgbColor rgb="FF660066"/>
      <rgbColor rgb="FFE74C3C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2E86C1"/>
      <rgbColor rgb="FF2ECC71"/>
      <rgbColor rgb="FF99CC00"/>
      <rgbColor rgb="FFFFCC00"/>
      <rgbColor rgb="FFFF9900"/>
      <rgbColor rgb="FFE67E22"/>
      <rgbColor rgb="FF5D6D7E"/>
      <rgbColor rgb="FF969696"/>
      <rgbColor rgb="FF1B4F72"/>
      <rgbColor rgb="FF17A589"/>
      <rgbColor rgb="FF003300"/>
      <rgbColor rgb="FF333300"/>
      <rgbColor rgb="FF993300"/>
      <rgbColor rgb="FF993366"/>
      <rgbColor rgb="FF333399"/>
      <rgbColor rgb="FF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Weekly Parcel Volume: 2019 vs 2020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Analysis'!$B$2</c:f>
              <c:strCache>
                <c:ptCount val="1"/>
                <c:pt idx="0">
                  <c:v>Vol 2019</c:v>
                </c:pt>
              </c:strCache>
            </c:strRef>
          </c:tx>
          <c:spPr>
            <a:ln w="47520">
              <a:solidFill>
                <a:srgbClr val="2E86C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'Weekly Analysis'!$A$3:$A$55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'Weekly Analysis'!$B$3:$B$55</c:f>
              <c:numCache>
                <c:formatCode>#,##0</c:formatCode>
                <c:ptCount val="53"/>
                <c:pt idx="0">
                  <c:v>814361</c:v>
                </c:pt>
                <c:pt idx="1">
                  <c:v>1048800</c:v>
                </c:pt>
                <c:pt idx="2">
                  <c:v>1073634</c:v>
                </c:pt>
                <c:pt idx="3">
                  <c:v>937502</c:v>
                </c:pt>
                <c:pt idx="4">
                  <c:v>870849</c:v>
                </c:pt>
                <c:pt idx="5">
                  <c:v>788670</c:v>
                </c:pt>
                <c:pt idx="6">
                  <c:v>938386</c:v>
                </c:pt>
                <c:pt idx="7">
                  <c:v>764078</c:v>
                </c:pt>
                <c:pt idx="8">
                  <c:v>803745</c:v>
                </c:pt>
                <c:pt idx="9">
                  <c:v>792805</c:v>
                </c:pt>
                <c:pt idx="10">
                  <c:v>879574</c:v>
                </c:pt>
                <c:pt idx="11">
                  <c:v>864583</c:v>
                </c:pt>
                <c:pt idx="12">
                  <c:v>853762</c:v>
                </c:pt>
                <c:pt idx="13">
                  <c:v>817979</c:v>
                </c:pt>
                <c:pt idx="14">
                  <c:v>874088</c:v>
                </c:pt>
                <c:pt idx="15">
                  <c:v>879169</c:v>
                </c:pt>
                <c:pt idx="16">
                  <c:v>912863</c:v>
                </c:pt>
                <c:pt idx="17">
                  <c:v>1059240</c:v>
                </c:pt>
                <c:pt idx="18">
                  <c:v>1102598</c:v>
                </c:pt>
                <c:pt idx="19">
                  <c:v>951212</c:v>
                </c:pt>
                <c:pt idx="20">
                  <c:v>874423</c:v>
                </c:pt>
                <c:pt idx="21">
                  <c:v>881149</c:v>
                </c:pt>
                <c:pt idx="22">
                  <c:v>883913</c:v>
                </c:pt>
                <c:pt idx="23">
                  <c:v>958393</c:v>
                </c:pt>
                <c:pt idx="24">
                  <c:v>913925</c:v>
                </c:pt>
                <c:pt idx="25">
                  <c:v>860909</c:v>
                </c:pt>
                <c:pt idx="26">
                  <c:v>813454</c:v>
                </c:pt>
                <c:pt idx="27">
                  <c:v>980602</c:v>
                </c:pt>
                <c:pt idx="28">
                  <c:v>935925</c:v>
                </c:pt>
                <c:pt idx="29">
                  <c:v>883204</c:v>
                </c:pt>
                <c:pt idx="30">
                  <c:v>886248</c:v>
                </c:pt>
                <c:pt idx="31">
                  <c:v>815116</c:v>
                </c:pt>
                <c:pt idx="32">
                  <c:v>847028</c:v>
                </c:pt>
                <c:pt idx="33">
                  <c:v>977478</c:v>
                </c:pt>
                <c:pt idx="34">
                  <c:v>965679</c:v>
                </c:pt>
                <c:pt idx="35">
                  <c:v>856524</c:v>
                </c:pt>
                <c:pt idx="36">
                  <c:v>917470</c:v>
                </c:pt>
                <c:pt idx="37">
                  <c:v>962901</c:v>
                </c:pt>
                <c:pt idx="38">
                  <c:v>957015</c:v>
                </c:pt>
                <c:pt idx="39">
                  <c:v>889764</c:v>
                </c:pt>
                <c:pt idx="40">
                  <c:v>926572</c:v>
                </c:pt>
                <c:pt idx="41">
                  <c:v>1012358</c:v>
                </c:pt>
                <c:pt idx="42">
                  <c:v>1026545</c:v>
                </c:pt>
                <c:pt idx="43">
                  <c:v>1037382</c:v>
                </c:pt>
                <c:pt idx="44">
                  <c:v>1238944</c:v>
                </c:pt>
                <c:pt idx="45">
                  <c:v>1296707</c:v>
                </c:pt>
                <c:pt idx="46">
                  <c:v>1331492</c:v>
                </c:pt>
                <c:pt idx="47">
                  <c:v>1790660</c:v>
                </c:pt>
                <c:pt idx="48">
                  <c:v>2506405</c:v>
                </c:pt>
                <c:pt idx="49">
                  <c:v>1736772</c:v>
                </c:pt>
                <c:pt idx="50">
                  <c:v>1321183</c:v>
                </c:pt>
                <c:pt idx="51">
                  <c:v>916585</c:v>
                </c:pt>
                <c:pt idx="52">
                  <c:v>592491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7A-4B9B-8155-058B5E8444EA}"/>
            </c:ext>
          </c:extLst>
        </c:ser>
        <c:ser>
          <c:idx val="1"/>
          <c:order val="1"/>
          <c:tx>
            <c:strRef>
              <c:f>'Weekly Analysis'!$C$2</c:f>
              <c:strCache>
                <c:ptCount val="1"/>
                <c:pt idx="0">
                  <c:v>Vol 2020</c:v>
                </c:pt>
              </c:strCache>
            </c:strRef>
          </c:tx>
          <c:spPr>
            <a:ln w="4752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'Weekly Analysis'!$A$3:$A$55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'Weekly Analysis'!$C$3:$C$55</c:f>
              <c:numCache>
                <c:formatCode>#,##0</c:formatCode>
                <c:ptCount val="53"/>
                <c:pt idx="0">
                  <c:v>554951</c:v>
                </c:pt>
                <c:pt idx="1">
                  <c:v>1078417</c:v>
                </c:pt>
                <c:pt idx="2">
                  <c:v>1008084</c:v>
                </c:pt>
                <c:pt idx="3">
                  <c:v>934713</c:v>
                </c:pt>
                <c:pt idx="4">
                  <c:v>938521</c:v>
                </c:pt>
                <c:pt idx="5">
                  <c:v>873763</c:v>
                </c:pt>
                <c:pt idx="6">
                  <c:v>786626</c:v>
                </c:pt>
                <c:pt idx="7">
                  <c:v>882633</c:v>
                </c:pt>
                <c:pt idx="8">
                  <c:v>903362</c:v>
                </c:pt>
                <c:pt idx="9">
                  <c:v>891398</c:v>
                </c:pt>
                <c:pt idx="10">
                  <c:v>887335</c:v>
                </c:pt>
                <c:pt idx="11">
                  <c:v>967436</c:v>
                </c:pt>
                <c:pt idx="12">
                  <c:v>1084829</c:v>
                </c:pt>
                <c:pt idx="13">
                  <c:v>1346802</c:v>
                </c:pt>
                <c:pt idx="14">
                  <c:v>1480147</c:v>
                </c:pt>
                <c:pt idx="15">
                  <c:v>2003866</c:v>
                </c:pt>
                <c:pt idx="16">
                  <c:v>1914740</c:v>
                </c:pt>
                <c:pt idx="17">
                  <c:v>1964582</c:v>
                </c:pt>
                <c:pt idx="18">
                  <c:v>2016316</c:v>
                </c:pt>
                <c:pt idx="19">
                  <c:v>2048931</c:v>
                </c:pt>
                <c:pt idx="20">
                  <c:v>1842820</c:v>
                </c:pt>
                <c:pt idx="21">
                  <c:v>1749399</c:v>
                </c:pt>
                <c:pt idx="22">
                  <c:v>1672111</c:v>
                </c:pt>
                <c:pt idx="23">
                  <c:v>1598331</c:v>
                </c:pt>
                <c:pt idx="24">
                  <c:v>1454647</c:v>
                </c:pt>
                <c:pt idx="25">
                  <c:v>1426303</c:v>
                </c:pt>
                <c:pt idx="26">
                  <c:v>1306604</c:v>
                </c:pt>
                <c:pt idx="27">
                  <c:v>1371776</c:v>
                </c:pt>
                <c:pt idx="28">
                  <c:v>1269835</c:v>
                </c:pt>
                <c:pt idx="29">
                  <c:v>1319267</c:v>
                </c:pt>
                <c:pt idx="30">
                  <c:v>1205036</c:v>
                </c:pt>
                <c:pt idx="31">
                  <c:v>1250590</c:v>
                </c:pt>
                <c:pt idx="32">
                  <c:v>1228359</c:v>
                </c:pt>
                <c:pt idx="33">
                  <c:v>1286856</c:v>
                </c:pt>
                <c:pt idx="34">
                  <c:v>1240796</c:v>
                </c:pt>
                <c:pt idx="35">
                  <c:v>1273737</c:v>
                </c:pt>
                <c:pt idx="36">
                  <c:v>1135972</c:v>
                </c:pt>
                <c:pt idx="37">
                  <c:v>1285061</c:v>
                </c:pt>
                <c:pt idx="38">
                  <c:v>1214387</c:v>
                </c:pt>
                <c:pt idx="39">
                  <c:v>1108258</c:v>
                </c:pt>
                <c:pt idx="40">
                  <c:v>1275676</c:v>
                </c:pt>
                <c:pt idx="41">
                  <c:v>1240437</c:v>
                </c:pt>
                <c:pt idx="42">
                  <c:v>1379348</c:v>
                </c:pt>
                <c:pt idx="43">
                  <c:v>1370162</c:v>
                </c:pt>
                <c:pt idx="44">
                  <c:v>1451789</c:v>
                </c:pt>
                <c:pt idx="45">
                  <c:v>1600614</c:v>
                </c:pt>
                <c:pt idx="46">
                  <c:v>1792533</c:v>
                </c:pt>
                <c:pt idx="47">
                  <c:v>2302321</c:v>
                </c:pt>
                <c:pt idx="48">
                  <c:v>2952342</c:v>
                </c:pt>
                <c:pt idx="49">
                  <c:v>2104379</c:v>
                </c:pt>
                <c:pt idx="50">
                  <c:v>1714827</c:v>
                </c:pt>
                <c:pt idx="51">
                  <c:v>1063727</c:v>
                </c:pt>
                <c:pt idx="52">
                  <c:v>1419938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7A-4B9B-8155-058B5E844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764149"/>
        <c:axId val="67996214"/>
      </c:lineChart>
      <c:catAx>
        <c:axId val="517641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996214"/>
        <c:crosses val="autoZero"/>
        <c:auto val="1"/>
        <c:lblAlgn val="ctr"/>
        <c:lblOffset val="100"/>
        <c:noMultiLvlLbl val="0"/>
      </c:catAx>
      <c:valAx>
        <c:axId val="67996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Total Parcels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7641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Volume Growth % by Customer Group (2020 vs 2019)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Group Analysis'!$E$2</c:f>
              <c:strCache>
                <c:ptCount val="1"/>
                <c:pt idx="0">
                  <c:v>Vol Growth %</c:v>
                </c:pt>
              </c:strCache>
            </c:strRef>
          </c:tx>
          <c:spPr>
            <a:solidFill>
              <a:srgbClr val="2E86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Group Analysis'!$A$3:$A$6</c:f>
              <c:strCache>
                <c:ptCount val="4"/>
                <c:pt idx="0">
                  <c:v>Enterprise</c:v>
                </c:pt>
                <c:pt idx="1">
                  <c:v>Large</c:v>
                </c:pt>
                <c:pt idx="2">
                  <c:v>Medium</c:v>
                </c:pt>
                <c:pt idx="3">
                  <c:v>Small</c:v>
                </c:pt>
              </c:strCache>
            </c:strRef>
          </c:cat>
          <c:val>
            <c:numRef>
              <c:f>'Customer Group Analysis'!$E$3:$E$6</c:f>
              <c:numCache>
                <c:formatCode>0.0%</c:formatCode>
                <c:ptCount val="4"/>
                <c:pt idx="0">
                  <c:v>0.38043330805492581</c:v>
                </c:pt>
                <c:pt idx="1">
                  <c:v>0.42074234192965004</c:v>
                </c:pt>
                <c:pt idx="2">
                  <c:v>0.47392613452817489</c:v>
                </c:pt>
                <c:pt idx="3">
                  <c:v>0.67732170388206558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D-468B-8DE1-B6A691AD6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452860"/>
        <c:axId val="49881235"/>
      </c:barChart>
      <c:catAx>
        <c:axId val="974528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Customer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881235"/>
        <c:crosses val="autoZero"/>
        <c:auto val="1"/>
        <c:lblAlgn val="ctr"/>
        <c:lblOffset val="100"/>
        <c:noMultiLvlLbl val="0"/>
      </c:catAx>
      <c:valAx>
        <c:axId val="498812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Growth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452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Customer Status % by Group During COVID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Status by Group'!$B$2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rgbClr val="7D3C9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Status by Group'!$A$3:$A$6</c:f>
              <c:strCache>
                <c:ptCount val="4"/>
                <c:pt idx="0">
                  <c:v>Enterprise</c:v>
                </c:pt>
                <c:pt idx="1">
                  <c:v>Large</c:v>
                </c:pt>
                <c:pt idx="2">
                  <c:v>Medium</c:v>
                </c:pt>
                <c:pt idx="3">
                  <c:v>Small</c:v>
                </c:pt>
              </c:strCache>
            </c:strRef>
          </c:cat>
          <c:val>
            <c:numRef>
              <c:f>'Customer Status by Group'!$B$3:$B$6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D-447B-8ACE-FBF2F6FD7BE3}"/>
            </c:ext>
          </c:extLst>
        </c:ser>
        <c:ser>
          <c:idx val="1"/>
          <c:order val="1"/>
          <c:tx>
            <c:strRef>
              <c:f>'Customer Status by Group'!$C$2</c:f>
              <c:strCache>
                <c:ptCount val="1"/>
                <c:pt idx="0">
                  <c:v>High Growth</c:v>
                </c:pt>
              </c:strCache>
            </c:strRef>
          </c:tx>
          <c:spPr>
            <a:solidFill>
              <a:srgbClr val="2E86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Status by Group'!$A$3:$A$6</c:f>
              <c:strCache>
                <c:ptCount val="4"/>
                <c:pt idx="0">
                  <c:v>Enterprise</c:v>
                </c:pt>
                <c:pt idx="1">
                  <c:v>Large</c:v>
                </c:pt>
                <c:pt idx="2">
                  <c:v>Medium</c:v>
                </c:pt>
                <c:pt idx="3">
                  <c:v>Small</c:v>
                </c:pt>
              </c:strCache>
            </c:strRef>
          </c:cat>
          <c:val>
            <c:numRef>
              <c:f>'Customer Status by Group'!$C$3:$C$6</c:f>
              <c:numCache>
                <c:formatCode>0.0%</c:formatCode>
                <c:ptCount val="4"/>
                <c:pt idx="0">
                  <c:v>0.62960000000000005</c:v>
                </c:pt>
                <c:pt idx="1">
                  <c:v>0.52829999999999999</c:v>
                </c:pt>
                <c:pt idx="2">
                  <c:v>0.57740000000000002</c:v>
                </c:pt>
                <c:pt idx="3">
                  <c:v>0.56230000000000002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D-447B-8ACE-FBF2F6FD7BE3}"/>
            </c:ext>
          </c:extLst>
        </c:ser>
        <c:ser>
          <c:idx val="2"/>
          <c:order val="2"/>
          <c:tx>
            <c:strRef>
              <c:f>'Customer Status by Group'!$D$2</c:f>
              <c:strCache>
                <c:ptCount val="1"/>
                <c:pt idx="0">
                  <c:v>Stable</c:v>
                </c:pt>
              </c:strCache>
            </c:strRef>
          </c:tx>
          <c:spPr>
            <a:solidFill>
              <a:srgbClr val="2ECC7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Status by Group'!$A$3:$A$6</c:f>
              <c:strCache>
                <c:ptCount val="4"/>
                <c:pt idx="0">
                  <c:v>Enterprise</c:v>
                </c:pt>
                <c:pt idx="1">
                  <c:v>Large</c:v>
                </c:pt>
                <c:pt idx="2">
                  <c:v>Medium</c:v>
                </c:pt>
                <c:pt idx="3">
                  <c:v>Small</c:v>
                </c:pt>
              </c:strCache>
            </c:strRef>
          </c:cat>
          <c:val>
            <c:numRef>
              <c:f>'Customer Status by Group'!$D$3:$D$6</c:f>
              <c:numCache>
                <c:formatCode>0.0%</c:formatCode>
                <c:ptCount val="4"/>
                <c:pt idx="0">
                  <c:v>0.12959999999999999</c:v>
                </c:pt>
                <c:pt idx="1">
                  <c:v>8.4900000000000003E-2</c:v>
                </c:pt>
                <c:pt idx="2">
                  <c:v>4.53E-2</c:v>
                </c:pt>
                <c:pt idx="3">
                  <c:v>7.17E-2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3D-447B-8ACE-FBF2F6FD7BE3}"/>
            </c:ext>
          </c:extLst>
        </c:ser>
        <c:ser>
          <c:idx val="3"/>
          <c:order val="3"/>
          <c:tx>
            <c:strRef>
              <c:f>'Customer Status by Group'!$E$2</c:f>
              <c:strCache>
                <c:ptCount val="1"/>
                <c:pt idx="0">
                  <c:v>Declining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Status by Group'!$A$3:$A$6</c:f>
              <c:strCache>
                <c:ptCount val="4"/>
                <c:pt idx="0">
                  <c:v>Enterprise</c:v>
                </c:pt>
                <c:pt idx="1">
                  <c:v>Large</c:v>
                </c:pt>
                <c:pt idx="2">
                  <c:v>Medium</c:v>
                </c:pt>
                <c:pt idx="3">
                  <c:v>Small</c:v>
                </c:pt>
              </c:strCache>
            </c:strRef>
          </c:cat>
          <c:val>
            <c:numRef>
              <c:f>'Customer Status by Group'!$E$3:$E$6</c:f>
              <c:numCache>
                <c:formatCode>0.0%</c:formatCode>
                <c:ptCount val="4"/>
                <c:pt idx="0">
                  <c:v>0.2407</c:v>
                </c:pt>
                <c:pt idx="1">
                  <c:v>0.36320000000000002</c:v>
                </c:pt>
                <c:pt idx="2">
                  <c:v>0.34339999999999998</c:v>
                </c:pt>
                <c:pt idx="3">
                  <c:v>0.33579999999999999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3D-447B-8ACE-FBF2F6FD7BE3}"/>
            </c:ext>
          </c:extLst>
        </c:ser>
        <c:ser>
          <c:idx val="4"/>
          <c:order val="4"/>
          <c:tx>
            <c:strRef>
              <c:f>'Customer Status by Group'!$F$2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Status by Group'!$A$3:$A$6</c:f>
              <c:strCache>
                <c:ptCount val="4"/>
                <c:pt idx="0">
                  <c:v>Enterprise</c:v>
                </c:pt>
                <c:pt idx="1">
                  <c:v>Large</c:v>
                </c:pt>
                <c:pt idx="2">
                  <c:v>Medium</c:v>
                </c:pt>
                <c:pt idx="3">
                  <c:v>Small</c:v>
                </c:pt>
              </c:strCache>
            </c:strRef>
          </c:cat>
          <c:val>
            <c:numRef>
              <c:f>'Customer Status by Group'!$F$3:$F$6</c:f>
              <c:numCache>
                <c:formatCode>0.0%</c:formatCode>
                <c:ptCount val="4"/>
                <c:pt idx="0">
                  <c:v>0</c:v>
                </c:pt>
                <c:pt idx="1">
                  <c:v>2.3599999999999999E-2</c:v>
                </c:pt>
                <c:pt idx="2">
                  <c:v>3.4000000000000002E-2</c:v>
                </c:pt>
                <c:pt idx="3">
                  <c:v>3.0200000000000001E-2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3D-447B-8ACE-FBF2F6FD7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289170"/>
        <c:axId val="12318167"/>
      </c:barChart>
      <c:catAx>
        <c:axId val="292891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Customer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318167"/>
        <c:crosses val="autoZero"/>
        <c:auto val="1"/>
        <c:lblAlgn val="ctr"/>
        <c:lblOffset val="100"/>
        <c:noMultiLvlLbl val="0"/>
      </c:catAx>
      <c:valAx>
        <c:axId val="12318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2891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18</xdr:col>
      <xdr:colOff>581400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5</xdr:col>
      <xdr:colOff>261720</xdr:colOff>
      <xdr:row>26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7</xdr:col>
      <xdr:colOff>526320</xdr:colOff>
      <xdr:row>29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showGridLines="0" topLeftCell="A9" zoomScaleNormal="100" workbookViewId="0">
      <selection sqref="A1:E1"/>
    </sheetView>
  </sheetViews>
  <sheetFormatPr defaultColWidth="8.6640625" defaultRowHeight="14.4" x14ac:dyDescent="0.3"/>
  <cols>
    <col min="1" max="1" width="28" customWidth="1"/>
    <col min="2" max="5" width="20" customWidth="1"/>
  </cols>
  <sheetData>
    <row r="1" spans="1:5" ht="31.5" customHeight="1" x14ac:dyDescent="0.3">
      <c r="A1" s="4" t="s">
        <v>0</v>
      </c>
      <c r="B1" s="4"/>
      <c r="C1" s="4"/>
      <c r="D1" s="4"/>
      <c r="E1" s="4"/>
    </row>
    <row r="2" spans="1:5" ht="19.5" customHeight="1" x14ac:dyDescent="0.3">
      <c r="A2" s="3" t="s">
        <v>1</v>
      </c>
      <c r="B2" s="3"/>
      <c r="C2" s="3"/>
      <c r="D2" s="3"/>
      <c r="E2" s="3"/>
    </row>
    <row r="4" spans="1:5" ht="21.75" customHeight="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5" ht="30" customHeight="1" x14ac:dyDescent="0.3">
      <c r="A5" s="6">
        <v>73475690</v>
      </c>
      <c r="B5" s="7">
        <v>0.39097611700817197</v>
      </c>
      <c r="C5" s="7">
        <v>0.114015238802403</v>
      </c>
      <c r="D5" s="7">
        <v>0.26476925868086498</v>
      </c>
      <c r="E5" s="8">
        <v>454356672</v>
      </c>
    </row>
    <row r="7" spans="1:5" ht="19.5" customHeight="1" x14ac:dyDescent="0.3">
      <c r="A7" s="2" t="s">
        <v>7</v>
      </c>
      <c r="B7" s="2"/>
      <c r="C7" s="9" t="s">
        <v>8</v>
      </c>
      <c r="D7" s="2" t="s">
        <v>9</v>
      </c>
      <c r="E7" s="2"/>
    </row>
    <row r="8" spans="1:5" x14ac:dyDescent="0.3">
      <c r="A8" s="10" t="s">
        <v>10</v>
      </c>
      <c r="B8" s="10" t="s">
        <v>11</v>
      </c>
      <c r="C8" s="10" t="s">
        <v>12</v>
      </c>
      <c r="D8" s="10" t="s">
        <v>13</v>
      </c>
      <c r="E8" s="10" t="s">
        <v>14</v>
      </c>
    </row>
    <row r="9" spans="1:5" x14ac:dyDescent="0.3">
      <c r="A9" s="11">
        <v>2018</v>
      </c>
      <c r="B9" s="12">
        <v>49099478</v>
      </c>
      <c r="C9" s="13" t="s">
        <v>15</v>
      </c>
      <c r="D9" s="12">
        <v>49099478</v>
      </c>
      <c r="E9" s="14" t="str">
        <f>IF(B9=D9,"✓ Match","✗ Diff")</f>
        <v>✓ Match</v>
      </c>
    </row>
    <row r="10" spans="1:5" x14ac:dyDescent="0.3">
      <c r="A10" s="15">
        <v>2019</v>
      </c>
      <c r="B10" s="16">
        <v>52823114</v>
      </c>
      <c r="C10" s="17">
        <f>(B10-B9)/B9</f>
        <v>7.5838606675207421E-2</v>
      </c>
      <c r="D10" s="16">
        <v>52823114</v>
      </c>
      <c r="E10" s="14" t="str">
        <f>IF(B10=D10,"✓ Match","✗ Diff")</f>
        <v>✓ Match</v>
      </c>
    </row>
    <row r="11" spans="1:5" x14ac:dyDescent="0.3">
      <c r="A11" s="11">
        <v>2020</v>
      </c>
      <c r="B11" s="12">
        <v>73475690</v>
      </c>
      <c r="C11" s="17">
        <f>(B11-B10)/B10</f>
        <v>0.39097611700817186</v>
      </c>
      <c r="D11" s="12">
        <v>73475690</v>
      </c>
      <c r="E11" s="14" t="str">
        <f>IF(B11=D11,"✓ Match","✗ Diff")</f>
        <v>✓ Match</v>
      </c>
    </row>
    <row r="12" spans="1:5" x14ac:dyDescent="0.3">
      <c r="A12" s="15">
        <v>2021</v>
      </c>
      <c r="B12" s="16">
        <v>48679668</v>
      </c>
      <c r="C12" s="17">
        <f>(B12-B11)/B11</f>
        <v>-0.33747246198028219</v>
      </c>
      <c r="D12" s="16">
        <v>48679668</v>
      </c>
      <c r="E12" s="14" t="str">
        <f>IF(B12=D12,"✓ Match","✗ Diff")</f>
        <v>✓ Match</v>
      </c>
    </row>
    <row r="14" spans="1:5" ht="19.5" customHeight="1" x14ac:dyDescent="0.3">
      <c r="A14" s="2" t="s">
        <v>16</v>
      </c>
      <c r="B14" s="2"/>
      <c r="C14" s="2"/>
      <c r="D14" s="2"/>
      <c r="E14" s="2"/>
    </row>
    <row r="15" spans="1:5" x14ac:dyDescent="0.3">
      <c r="A15" s="18" t="s">
        <v>17</v>
      </c>
      <c r="B15" s="13">
        <v>13122816</v>
      </c>
      <c r="C15" s="19"/>
      <c r="D15" s="19"/>
      <c r="E15" s="19"/>
    </row>
    <row r="16" spans="1:5" x14ac:dyDescent="0.3">
      <c r="A16" s="20" t="s">
        <v>18</v>
      </c>
      <c r="B16" s="21">
        <v>14619017</v>
      </c>
      <c r="C16" s="19"/>
      <c r="D16" s="19"/>
      <c r="E16" s="19"/>
    </row>
    <row r="17" spans="1:5" x14ac:dyDescent="0.3">
      <c r="A17" s="18" t="s">
        <v>19</v>
      </c>
      <c r="B17" s="22">
        <f>(B16-B15)/B15</f>
        <v>0.11401523880240338</v>
      </c>
      <c r="C17" s="19"/>
      <c r="D17" s="19"/>
      <c r="E17" s="19"/>
    </row>
    <row r="18" spans="1:5" x14ac:dyDescent="0.3">
      <c r="A18" s="20" t="s">
        <v>20</v>
      </c>
      <c r="B18" s="22">
        <v>0.114</v>
      </c>
      <c r="C18" s="19"/>
      <c r="D18" s="19"/>
      <c r="E18" s="19"/>
    </row>
    <row r="19" spans="1:5" x14ac:dyDescent="0.3">
      <c r="A19" s="18" t="s">
        <v>14</v>
      </c>
      <c r="B19" s="13" t="str">
        <f>IF(ROUND(B17,4)=B18,"✓ Match","✗ Diff")</f>
        <v>✓ Match</v>
      </c>
      <c r="C19" s="19"/>
      <c r="D19" s="19"/>
      <c r="E19" s="19"/>
    </row>
    <row r="21" spans="1:5" ht="15" customHeight="1" x14ac:dyDescent="0.3">
      <c r="A21" s="2" t="s">
        <v>21</v>
      </c>
      <c r="B21" s="2"/>
      <c r="C21" s="2"/>
      <c r="D21" s="2"/>
      <c r="E21" s="2"/>
    </row>
    <row r="22" spans="1:5" x14ac:dyDescent="0.3">
      <c r="A22" s="18" t="s">
        <v>22</v>
      </c>
      <c r="B22" s="12">
        <v>15372691</v>
      </c>
      <c r="C22" s="19"/>
      <c r="D22" s="19"/>
      <c r="E22" s="19"/>
    </row>
    <row r="23" spans="1:5" x14ac:dyDescent="0.3">
      <c r="A23" s="20" t="s">
        <v>23</v>
      </c>
      <c r="B23" s="16">
        <v>19442907</v>
      </c>
      <c r="C23" s="19"/>
      <c r="D23" s="19"/>
      <c r="E23" s="19"/>
    </row>
    <row r="24" spans="1:5" x14ac:dyDescent="0.3">
      <c r="A24" s="18" t="s">
        <v>24</v>
      </c>
      <c r="B24" s="17">
        <f>(B23-B22)/B22</f>
        <v>0.26476925868086465</v>
      </c>
      <c r="C24" s="19"/>
      <c r="D24" s="19"/>
      <c r="E24" s="19"/>
    </row>
    <row r="25" spans="1:5" x14ac:dyDescent="0.3">
      <c r="A25" s="20" t="s">
        <v>13</v>
      </c>
      <c r="B25" s="23">
        <v>0.26500000000000001</v>
      </c>
      <c r="C25" s="19"/>
      <c r="D25" s="19"/>
      <c r="E25" s="19"/>
    </row>
  </sheetData>
  <mergeCells count="6">
    <mergeCell ref="A21:E21"/>
    <mergeCell ref="A1:E1"/>
    <mergeCell ref="A2:E2"/>
    <mergeCell ref="A7:B7"/>
    <mergeCell ref="D7:E7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showGridLines="0" zoomScaleNormal="100" workbookViewId="0">
      <selection sqref="A1:E1"/>
    </sheetView>
  </sheetViews>
  <sheetFormatPr defaultColWidth="8.6640625" defaultRowHeight="14.4" x14ac:dyDescent="0.3"/>
  <cols>
    <col min="1" max="1" width="10" customWidth="1"/>
    <col min="2" max="4" width="18" customWidth="1"/>
    <col min="5" max="5" width="14" customWidth="1"/>
  </cols>
  <sheetData>
    <row r="1" spans="1:5" ht="27.75" customHeight="1" x14ac:dyDescent="0.3">
      <c r="A1" s="1" t="s">
        <v>25</v>
      </c>
      <c r="B1" s="1"/>
      <c r="C1" s="1"/>
      <c r="D1" s="1"/>
      <c r="E1" s="1"/>
    </row>
    <row r="2" spans="1:5" x14ac:dyDescent="0.3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</row>
    <row r="3" spans="1:5" x14ac:dyDescent="0.3">
      <c r="A3" s="13">
        <v>1</v>
      </c>
      <c r="B3" s="12">
        <v>814361</v>
      </c>
      <c r="C3" s="12">
        <v>554951</v>
      </c>
      <c r="D3" s="24">
        <f t="shared" ref="D3:D34" si="0">C3-B3</f>
        <v>-259410</v>
      </c>
      <c r="E3" s="17">
        <f t="shared" ref="E3:E34" si="1">(C3-B3)/B3</f>
        <v>-0.31854423284022687</v>
      </c>
    </row>
    <row r="4" spans="1:5" x14ac:dyDescent="0.3">
      <c r="A4" s="21">
        <v>2</v>
      </c>
      <c r="B4" s="16">
        <v>1048800</v>
      </c>
      <c r="C4" s="16">
        <v>1078417</v>
      </c>
      <c r="D4" s="24">
        <f t="shared" si="0"/>
        <v>29617</v>
      </c>
      <c r="E4" s="17">
        <f t="shared" si="1"/>
        <v>2.8238939740655989E-2</v>
      </c>
    </row>
    <row r="5" spans="1:5" x14ac:dyDescent="0.3">
      <c r="A5" s="13">
        <v>3</v>
      </c>
      <c r="B5" s="12">
        <v>1073634</v>
      </c>
      <c r="C5" s="12">
        <v>1008084</v>
      </c>
      <c r="D5" s="24">
        <f t="shared" si="0"/>
        <v>-65550</v>
      </c>
      <c r="E5" s="17">
        <f t="shared" si="1"/>
        <v>-6.1054325775823044E-2</v>
      </c>
    </row>
    <row r="6" spans="1:5" x14ac:dyDescent="0.3">
      <c r="A6" s="21">
        <v>4</v>
      </c>
      <c r="B6" s="16">
        <v>937502</v>
      </c>
      <c r="C6" s="16">
        <v>934713</v>
      </c>
      <c r="D6" s="24">
        <f t="shared" si="0"/>
        <v>-2789</v>
      </c>
      <c r="E6" s="17">
        <f t="shared" si="1"/>
        <v>-2.9749269868224282E-3</v>
      </c>
    </row>
    <row r="7" spans="1:5" x14ac:dyDescent="0.3">
      <c r="A7" s="13">
        <v>5</v>
      </c>
      <c r="B7" s="12">
        <v>870849</v>
      </c>
      <c r="C7" s="12">
        <v>938521</v>
      </c>
      <c r="D7" s="24">
        <f t="shared" si="0"/>
        <v>67672</v>
      </c>
      <c r="E7" s="17">
        <f t="shared" si="1"/>
        <v>7.7708075682466196E-2</v>
      </c>
    </row>
    <row r="8" spans="1:5" x14ac:dyDescent="0.3">
      <c r="A8" s="21">
        <v>6</v>
      </c>
      <c r="B8" s="16">
        <v>788670</v>
      </c>
      <c r="C8" s="16">
        <v>873763</v>
      </c>
      <c r="D8" s="24">
        <f t="shared" si="0"/>
        <v>85093</v>
      </c>
      <c r="E8" s="17">
        <f t="shared" si="1"/>
        <v>0.10789430306718907</v>
      </c>
    </row>
    <row r="9" spans="1:5" x14ac:dyDescent="0.3">
      <c r="A9" s="13">
        <v>7</v>
      </c>
      <c r="B9" s="12">
        <v>938386</v>
      </c>
      <c r="C9" s="12">
        <v>786626</v>
      </c>
      <c r="D9" s="24">
        <f t="shared" si="0"/>
        <v>-151760</v>
      </c>
      <c r="E9" s="17">
        <f t="shared" si="1"/>
        <v>-0.1617244929059044</v>
      </c>
    </row>
    <row r="10" spans="1:5" x14ac:dyDescent="0.3">
      <c r="A10" s="21">
        <v>8</v>
      </c>
      <c r="B10" s="16">
        <v>764078</v>
      </c>
      <c r="C10" s="16">
        <v>882633</v>
      </c>
      <c r="D10" s="24">
        <f t="shared" si="0"/>
        <v>118555</v>
      </c>
      <c r="E10" s="17">
        <f t="shared" si="1"/>
        <v>0.15516086054041603</v>
      </c>
    </row>
    <row r="11" spans="1:5" x14ac:dyDescent="0.3">
      <c r="A11" s="13">
        <v>9</v>
      </c>
      <c r="B11" s="12">
        <v>803745</v>
      </c>
      <c r="C11" s="12">
        <v>903362</v>
      </c>
      <c r="D11" s="24">
        <f t="shared" si="0"/>
        <v>99617</v>
      </c>
      <c r="E11" s="17">
        <f t="shared" si="1"/>
        <v>0.12394105095521589</v>
      </c>
    </row>
    <row r="12" spans="1:5" x14ac:dyDescent="0.3">
      <c r="A12" s="21">
        <v>10</v>
      </c>
      <c r="B12" s="16">
        <v>792805</v>
      </c>
      <c r="C12" s="16">
        <v>891398</v>
      </c>
      <c r="D12" s="24">
        <f t="shared" si="0"/>
        <v>98593</v>
      </c>
      <c r="E12" s="17">
        <f t="shared" si="1"/>
        <v>0.1243597101430995</v>
      </c>
    </row>
    <row r="13" spans="1:5" x14ac:dyDescent="0.3">
      <c r="A13" s="13">
        <v>11</v>
      </c>
      <c r="B13" s="12">
        <v>879574</v>
      </c>
      <c r="C13" s="12">
        <v>887335</v>
      </c>
      <c r="D13" s="24">
        <f t="shared" si="0"/>
        <v>7761</v>
      </c>
      <c r="E13" s="17">
        <f t="shared" si="1"/>
        <v>8.823589601329734E-3</v>
      </c>
    </row>
    <row r="14" spans="1:5" x14ac:dyDescent="0.3">
      <c r="A14" s="21">
        <v>12</v>
      </c>
      <c r="B14" s="16">
        <v>864583</v>
      </c>
      <c r="C14" s="16">
        <v>967436</v>
      </c>
      <c r="D14" s="24">
        <f t="shared" si="0"/>
        <v>102853</v>
      </c>
      <c r="E14" s="17">
        <f t="shared" si="1"/>
        <v>0.11896255188917663</v>
      </c>
    </row>
    <row r="15" spans="1:5" x14ac:dyDescent="0.3">
      <c r="A15" s="13">
        <v>13</v>
      </c>
      <c r="B15" s="12">
        <v>853762</v>
      </c>
      <c r="C15" s="12">
        <v>1084829</v>
      </c>
      <c r="D15" s="24">
        <f t="shared" si="0"/>
        <v>231067</v>
      </c>
      <c r="E15" s="17">
        <f t="shared" si="1"/>
        <v>0.27064568345745066</v>
      </c>
    </row>
    <row r="16" spans="1:5" x14ac:dyDescent="0.3">
      <c r="A16" s="25">
        <v>14</v>
      </c>
      <c r="B16" s="26">
        <v>817979</v>
      </c>
      <c r="C16" s="26">
        <v>1346802</v>
      </c>
      <c r="D16" s="27">
        <f t="shared" si="0"/>
        <v>528823</v>
      </c>
      <c r="E16" s="28">
        <f t="shared" si="1"/>
        <v>0.64649948226054699</v>
      </c>
    </row>
    <row r="17" spans="1:5" x14ac:dyDescent="0.3">
      <c r="A17" s="25">
        <v>15</v>
      </c>
      <c r="B17" s="26">
        <v>874088</v>
      </c>
      <c r="C17" s="26">
        <v>1480147</v>
      </c>
      <c r="D17" s="27">
        <f t="shared" si="0"/>
        <v>606059</v>
      </c>
      <c r="E17" s="28">
        <f t="shared" si="1"/>
        <v>0.69336153796871713</v>
      </c>
    </row>
    <row r="18" spans="1:5" x14ac:dyDescent="0.3">
      <c r="A18" s="25">
        <v>16</v>
      </c>
      <c r="B18" s="26">
        <v>879169</v>
      </c>
      <c r="C18" s="26">
        <v>2003866</v>
      </c>
      <c r="D18" s="27">
        <f t="shared" si="0"/>
        <v>1124697</v>
      </c>
      <c r="E18" s="28">
        <f t="shared" si="1"/>
        <v>1.2792728133043818</v>
      </c>
    </row>
    <row r="19" spans="1:5" x14ac:dyDescent="0.3">
      <c r="A19" s="25">
        <v>17</v>
      </c>
      <c r="B19" s="26">
        <v>912863</v>
      </c>
      <c r="C19" s="26">
        <v>1914740</v>
      </c>
      <c r="D19" s="27">
        <f t="shared" si="0"/>
        <v>1001877</v>
      </c>
      <c r="E19" s="28">
        <f t="shared" si="1"/>
        <v>1.0975107984440162</v>
      </c>
    </row>
    <row r="20" spans="1:5" x14ac:dyDescent="0.3">
      <c r="A20" s="25">
        <v>18</v>
      </c>
      <c r="B20" s="26">
        <v>1059240</v>
      </c>
      <c r="C20" s="26">
        <v>1964582</v>
      </c>
      <c r="D20" s="27">
        <f t="shared" si="0"/>
        <v>905342</v>
      </c>
      <c r="E20" s="28">
        <f t="shared" si="1"/>
        <v>0.85470903666779952</v>
      </c>
    </row>
    <row r="21" spans="1:5" x14ac:dyDescent="0.3">
      <c r="A21" s="25">
        <v>19</v>
      </c>
      <c r="B21" s="26">
        <v>1102598</v>
      </c>
      <c r="C21" s="26">
        <v>2016316</v>
      </c>
      <c r="D21" s="27">
        <f t="shared" si="0"/>
        <v>913718</v>
      </c>
      <c r="E21" s="28">
        <f t="shared" si="1"/>
        <v>0.82869549917558349</v>
      </c>
    </row>
    <row r="22" spans="1:5" x14ac:dyDescent="0.3">
      <c r="A22" s="25">
        <v>20</v>
      </c>
      <c r="B22" s="26">
        <v>951212</v>
      </c>
      <c r="C22" s="26">
        <v>2048931</v>
      </c>
      <c r="D22" s="27">
        <f t="shared" si="0"/>
        <v>1097719</v>
      </c>
      <c r="E22" s="28">
        <f t="shared" si="1"/>
        <v>1.1540213958612802</v>
      </c>
    </row>
    <row r="23" spans="1:5" x14ac:dyDescent="0.3">
      <c r="A23" s="13">
        <v>21</v>
      </c>
      <c r="B23" s="12">
        <v>874423</v>
      </c>
      <c r="C23" s="12">
        <v>1842820</v>
      </c>
      <c r="D23" s="24">
        <f t="shared" si="0"/>
        <v>968397</v>
      </c>
      <c r="E23" s="17">
        <f t="shared" si="1"/>
        <v>1.1074697257505806</v>
      </c>
    </row>
    <row r="24" spans="1:5" x14ac:dyDescent="0.3">
      <c r="A24" s="21">
        <v>22</v>
      </c>
      <c r="B24" s="16">
        <v>881149</v>
      </c>
      <c r="C24" s="16">
        <v>1749399</v>
      </c>
      <c r="D24" s="24">
        <f t="shared" si="0"/>
        <v>868250</v>
      </c>
      <c r="E24" s="17">
        <f t="shared" si="1"/>
        <v>0.98536115912291788</v>
      </c>
    </row>
    <row r="25" spans="1:5" x14ac:dyDescent="0.3">
      <c r="A25" s="13">
        <v>23</v>
      </c>
      <c r="B25" s="12">
        <v>883913</v>
      </c>
      <c r="C25" s="12">
        <v>1672111</v>
      </c>
      <c r="D25" s="24">
        <f t="shared" si="0"/>
        <v>788198</v>
      </c>
      <c r="E25" s="17">
        <f t="shared" si="1"/>
        <v>0.89171445606072086</v>
      </c>
    </row>
    <row r="26" spans="1:5" x14ac:dyDescent="0.3">
      <c r="A26" s="21">
        <v>24</v>
      </c>
      <c r="B26" s="16">
        <v>958393</v>
      </c>
      <c r="C26" s="16">
        <v>1598331</v>
      </c>
      <c r="D26" s="24">
        <f t="shared" si="0"/>
        <v>639938</v>
      </c>
      <c r="E26" s="17">
        <f t="shared" si="1"/>
        <v>0.6677198184878228</v>
      </c>
    </row>
    <row r="27" spans="1:5" x14ac:dyDescent="0.3">
      <c r="A27" s="13">
        <v>25</v>
      </c>
      <c r="B27" s="12">
        <v>913925</v>
      </c>
      <c r="C27" s="12">
        <v>1454647</v>
      </c>
      <c r="D27" s="24">
        <f t="shared" si="0"/>
        <v>540722</v>
      </c>
      <c r="E27" s="17">
        <f t="shared" si="1"/>
        <v>0.59164811116885963</v>
      </c>
    </row>
    <row r="28" spans="1:5" x14ac:dyDescent="0.3">
      <c r="A28" s="21">
        <v>26</v>
      </c>
      <c r="B28" s="16">
        <v>860909</v>
      </c>
      <c r="C28" s="16">
        <v>1426303</v>
      </c>
      <c r="D28" s="24">
        <f t="shared" si="0"/>
        <v>565394</v>
      </c>
      <c r="E28" s="17">
        <f t="shared" si="1"/>
        <v>0.65674072404865091</v>
      </c>
    </row>
    <row r="29" spans="1:5" x14ac:dyDescent="0.3">
      <c r="A29" s="13">
        <v>27</v>
      </c>
      <c r="B29" s="12">
        <v>813454</v>
      </c>
      <c r="C29" s="12">
        <v>1306604</v>
      </c>
      <c r="D29" s="24">
        <f t="shared" si="0"/>
        <v>493150</v>
      </c>
      <c r="E29" s="17">
        <f t="shared" si="1"/>
        <v>0.6062420247487873</v>
      </c>
    </row>
    <row r="30" spans="1:5" x14ac:dyDescent="0.3">
      <c r="A30" s="21">
        <v>28</v>
      </c>
      <c r="B30" s="16">
        <v>980602</v>
      </c>
      <c r="C30" s="16">
        <v>1371776</v>
      </c>
      <c r="D30" s="24">
        <f t="shared" si="0"/>
        <v>391174</v>
      </c>
      <c r="E30" s="17">
        <f t="shared" si="1"/>
        <v>0.39891209685478918</v>
      </c>
    </row>
    <row r="31" spans="1:5" x14ac:dyDescent="0.3">
      <c r="A31" s="13">
        <v>29</v>
      </c>
      <c r="B31" s="12">
        <v>935925</v>
      </c>
      <c r="C31" s="12">
        <v>1269835</v>
      </c>
      <c r="D31" s="24">
        <f t="shared" si="0"/>
        <v>333910</v>
      </c>
      <c r="E31" s="17">
        <f t="shared" si="1"/>
        <v>0.3567700403344285</v>
      </c>
    </row>
    <row r="32" spans="1:5" x14ac:dyDescent="0.3">
      <c r="A32" s="21">
        <v>30</v>
      </c>
      <c r="B32" s="16">
        <v>883204</v>
      </c>
      <c r="C32" s="16">
        <v>1319267</v>
      </c>
      <c r="D32" s="24">
        <f t="shared" si="0"/>
        <v>436063</v>
      </c>
      <c r="E32" s="17">
        <f t="shared" si="1"/>
        <v>0.49372851572230197</v>
      </c>
    </row>
    <row r="33" spans="1:5" x14ac:dyDescent="0.3">
      <c r="A33" s="13">
        <v>31</v>
      </c>
      <c r="B33" s="12">
        <v>886248</v>
      </c>
      <c r="C33" s="12">
        <v>1205036</v>
      </c>
      <c r="D33" s="24">
        <f t="shared" si="0"/>
        <v>318788</v>
      </c>
      <c r="E33" s="17">
        <f t="shared" si="1"/>
        <v>0.35970518410196695</v>
      </c>
    </row>
    <row r="34" spans="1:5" x14ac:dyDescent="0.3">
      <c r="A34" s="21">
        <v>32</v>
      </c>
      <c r="B34" s="16">
        <v>815116</v>
      </c>
      <c r="C34" s="16">
        <v>1250590</v>
      </c>
      <c r="D34" s="24">
        <f t="shared" si="0"/>
        <v>435474</v>
      </c>
      <c r="E34" s="17">
        <f t="shared" si="1"/>
        <v>0.53424788619043184</v>
      </c>
    </row>
    <row r="35" spans="1:5" x14ac:dyDescent="0.3">
      <c r="A35" s="13">
        <v>33</v>
      </c>
      <c r="B35" s="12">
        <v>847028</v>
      </c>
      <c r="C35" s="12">
        <v>1228359</v>
      </c>
      <c r="D35" s="24">
        <f t="shared" ref="D35:D66" si="2">C35-B35</f>
        <v>381331</v>
      </c>
      <c r="E35" s="17">
        <f t="shared" ref="E35:E55" si="3">(C35-B35)/B35</f>
        <v>0.45019881279013207</v>
      </c>
    </row>
    <row r="36" spans="1:5" x14ac:dyDescent="0.3">
      <c r="A36" s="21">
        <v>34</v>
      </c>
      <c r="B36" s="16">
        <v>977478</v>
      </c>
      <c r="C36" s="16">
        <v>1286856</v>
      </c>
      <c r="D36" s="24">
        <f t="shared" si="2"/>
        <v>309378</v>
      </c>
      <c r="E36" s="17">
        <f t="shared" si="3"/>
        <v>0.31650635615328426</v>
      </c>
    </row>
    <row r="37" spans="1:5" x14ac:dyDescent="0.3">
      <c r="A37" s="13">
        <v>35</v>
      </c>
      <c r="B37" s="12">
        <v>965679</v>
      </c>
      <c r="C37" s="12">
        <v>1240796</v>
      </c>
      <c r="D37" s="24">
        <f t="shared" si="2"/>
        <v>275117</v>
      </c>
      <c r="E37" s="17">
        <f t="shared" si="3"/>
        <v>0.28489487707612987</v>
      </c>
    </row>
    <row r="38" spans="1:5" x14ac:dyDescent="0.3">
      <c r="A38" s="21">
        <v>36</v>
      </c>
      <c r="B38" s="16">
        <v>856524</v>
      </c>
      <c r="C38" s="16">
        <v>1273737</v>
      </c>
      <c r="D38" s="24">
        <f t="shared" si="2"/>
        <v>417213</v>
      </c>
      <c r="E38" s="17">
        <f t="shared" si="3"/>
        <v>0.48710018633453356</v>
      </c>
    </row>
    <row r="39" spans="1:5" x14ac:dyDescent="0.3">
      <c r="A39" s="13">
        <v>37</v>
      </c>
      <c r="B39" s="12">
        <v>917470</v>
      </c>
      <c r="C39" s="12">
        <v>1135972</v>
      </c>
      <c r="D39" s="24">
        <f t="shared" si="2"/>
        <v>218502</v>
      </c>
      <c r="E39" s="17">
        <f t="shared" si="3"/>
        <v>0.23815710595441814</v>
      </c>
    </row>
    <row r="40" spans="1:5" x14ac:dyDescent="0.3">
      <c r="A40" s="21">
        <v>38</v>
      </c>
      <c r="B40" s="16">
        <v>962901</v>
      </c>
      <c r="C40" s="16">
        <v>1285061</v>
      </c>
      <c r="D40" s="24">
        <f t="shared" si="2"/>
        <v>322160</v>
      </c>
      <c r="E40" s="17">
        <f t="shared" si="3"/>
        <v>0.33457229767130786</v>
      </c>
    </row>
    <row r="41" spans="1:5" x14ac:dyDescent="0.3">
      <c r="A41" s="13">
        <v>39</v>
      </c>
      <c r="B41" s="12">
        <v>957015</v>
      </c>
      <c r="C41" s="12">
        <v>1214387</v>
      </c>
      <c r="D41" s="24">
        <f t="shared" si="2"/>
        <v>257372</v>
      </c>
      <c r="E41" s="17">
        <f t="shared" si="3"/>
        <v>0.26893204390735775</v>
      </c>
    </row>
    <row r="42" spans="1:5" x14ac:dyDescent="0.3">
      <c r="A42" s="21">
        <v>40</v>
      </c>
      <c r="B42" s="16">
        <v>889764</v>
      </c>
      <c r="C42" s="16">
        <v>1108258</v>
      </c>
      <c r="D42" s="24">
        <f t="shared" si="2"/>
        <v>218494</v>
      </c>
      <c r="E42" s="17">
        <f t="shared" si="3"/>
        <v>0.24556399224963024</v>
      </c>
    </row>
    <row r="43" spans="1:5" x14ac:dyDescent="0.3">
      <c r="A43" s="13">
        <v>41</v>
      </c>
      <c r="B43" s="12">
        <v>926572</v>
      </c>
      <c r="C43" s="12">
        <v>1275676</v>
      </c>
      <c r="D43" s="24">
        <f t="shared" si="2"/>
        <v>349104</v>
      </c>
      <c r="E43" s="17">
        <f t="shared" si="3"/>
        <v>0.3767694253657568</v>
      </c>
    </row>
    <row r="44" spans="1:5" x14ac:dyDescent="0.3">
      <c r="A44" s="21">
        <v>42</v>
      </c>
      <c r="B44" s="16">
        <v>1012358</v>
      </c>
      <c r="C44" s="16">
        <v>1240437</v>
      </c>
      <c r="D44" s="24">
        <f t="shared" si="2"/>
        <v>228079</v>
      </c>
      <c r="E44" s="17">
        <f t="shared" si="3"/>
        <v>0.22529480677783947</v>
      </c>
    </row>
    <row r="45" spans="1:5" x14ac:dyDescent="0.3">
      <c r="A45" s="13">
        <v>43</v>
      </c>
      <c r="B45" s="12">
        <v>1026545</v>
      </c>
      <c r="C45" s="12">
        <v>1379348</v>
      </c>
      <c r="D45" s="24">
        <f t="shared" si="2"/>
        <v>352803</v>
      </c>
      <c r="E45" s="17">
        <f t="shared" si="3"/>
        <v>0.34368001402763637</v>
      </c>
    </row>
    <row r="46" spans="1:5" x14ac:dyDescent="0.3">
      <c r="A46" s="21">
        <v>44</v>
      </c>
      <c r="B46" s="16">
        <v>1037382</v>
      </c>
      <c r="C46" s="16">
        <v>1370162</v>
      </c>
      <c r="D46" s="24">
        <f t="shared" si="2"/>
        <v>332780</v>
      </c>
      <c r="E46" s="17">
        <f t="shared" si="3"/>
        <v>0.32078829206598919</v>
      </c>
    </row>
    <row r="47" spans="1:5" x14ac:dyDescent="0.3">
      <c r="A47" s="13">
        <v>45</v>
      </c>
      <c r="B47" s="12">
        <v>1238944</v>
      </c>
      <c r="C47" s="12">
        <v>1451789</v>
      </c>
      <c r="D47" s="24">
        <f t="shared" si="2"/>
        <v>212845</v>
      </c>
      <c r="E47" s="17">
        <f t="shared" si="3"/>
        <v>0.17179549681018674</v>
      </c>
    </row>
    <row r="48" spans="1:5" x14ac:dyDescent="0.3">
      <c r="A48" s="21">
        <v>46</v>
      </c>
      <c r="B48" s="16">
        <v>1296707</v>
      </c>
      <c r="C48" s="16">
        <v>1600614</v>
      </c>
      <c r="D48" s="24">
        <f t="shared" si="2"/>
        <v>303907</v>
      </c>
      <c r="E48" s="17">
        <f t="shared" si="3"/>
        <v>0.23436828828717668</v>
      </c>
    </row>
    <row r="49" spans="1:5" x14ac:dyDescent="0.3">
      <c r="A49" s="13">
        <v>47</v>
      </c>
      <c r="B49" s="12">
        <v>1331492</v>
      </c>
      <c r="C49" s="12">
        <v>1792533</v>
      </c>
      <c r="D49" s="24">
        <f t="shared" si="2"/>
        <v>461041</v>
      </c>
      <c r="E49" s="17">
        <f t="shared" si="3"/>
        <v>0.34625893358728405</v>
      </c>
    </row>
    <row r="50" spans="1:5" x14ac:dyDescent="0.3">
      <c r="A50" s="21">
        <v>48</v>
      </c>
      <c r="B50" s="16">
        <v>1790660</v>
      </c>
      <c r="C50" s="16">
        <v>2302321</v>
      </c>
      <c r="D50" s="24">
        <f t="shared" si="2"/>
        <v>511661</v>
      </c>
      <c r="E50" s="17">
        <f t="shared" si="3"/>
        <v>0.28573877788078139</v>
      </c>
    </row>
    <row r="51" spans="1:5" x14ac:dyDescent="0.3">
      <c r="A51" s="13">
        <v>49</v>
      </c>
      <c r="B51" s="12">
        <v>2506405</v>
      </c>
      <c r="C51" s="12">
        <v>2952342</v>
      </c>
      <c r="D51" s="24">
        <f t="shared" si="2"/>
        <v>445937</v>
      </c>
      <c r="E51" s="17">
        <f t="shared" si="3"/>
        <v>0.17791897159477418</v>
      </c>
    </row>
    <row r="52" spans="1:5" x14ac:dyDescent="0.3">
      <c r="A52" s="21">
        <v>50</v>
      </c>
      <c r="B52" s="16">
        <v>1736772</v>
      </c>
      <c r="C52" s="16">
        <v>2104379</v>
      </c>
      <c r="D52" s="24">
        <f t="shared" si="2"/>
        <v>367607</v>
      </c>
      <c r="E52" s="17">
        <f t="shared" si="3"/>
        <v>0.21166105856151526</v>
      </c>
    </row>
    <row r="53" spans="1:5" x14ac:dyDescent="0.3">
      <c r="A53" s="13">
        <v>51</v>
      </c>
      <c r="B53" s="12">
        <v>1321183</v>
      </c>
      <c r="C53" s="12">
        <v>1714827</v>
      </c>
      <c r="D53" s="24">
        <f t="shared" si="2"/>
        <v>393644</v>
      </c>
      <c r="E53" s="17">
        <f t="shared" si="3"/>
        <v>0.29794812679242771</v>
      </c>
    </row>
    <row r="54" spans="1:5" x14ac:dyDescent="0.3">
      <c r="A54" s="21">
        <v>52</v>
      </c>
      <c r="B54" s="16">
        <v>916585</v>
      </c>
      <c r="C54" s="16">
        <v>1063727</v>
      </c>
      <c r="D54" s="24">
        <f t="shared" si="2"/>
        <v>147142</v>
      </c>
      <c r="E54" s="17">
        <f t="shared" si="3"/>
        <v>0.16053284747186566</v>
      </c>
    </row>
    <row r="55" spans="1:5" x14ac:dyDescent="0.3">
      <c r="A55" s="13">
        <v>53</v>
      </c>
      <c r="B55" s="12">
        <v>592491</v>
      </c>
      <c r="C55" s="12">
        <v>1419938</v>
      </c>
      <c r="D55" s="24">
        <f t="shared" si="2"/>
        <v>827447</v>
      </c>
      <c r="E55" s="17">
        <f t="shared" si="3"/>
        <v>1.3965562346094709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16" customWidth="1"/>
    <col min="2" max="2" width="14" customWidth="1"/>
    <col min="3" max="8" width="16" customWidth="1"/>
  </cols>
  <sheetData>
    <row r="1" spans="1:8" ht="27.75" customHeight="1" x14ac:dyDescent="0.3">
      <c r="A1" s="1" t="s">
        <v>31</v>
      </c>
      <c r="B1" s="1"/>
      <c r="C1" s="1"/>
      <c r="D1" s="1"/>
      <c r="E1" s="1"/>
      <c r="F1" s="1"/>
      <c r="G1" s="1"/>
      <c r="H1" s="1"/>
    </row>
    <row r="2" spans="1:8" ht="21.75" customHeight="1" x14ac:dyDescent="0.3">
      <c r="A2" s="5" t="s">
        <v>32</v>
      </c>
      <c r="B2" s="5" t="s">
        <v>33</v>
      </c>
      <c r="C2" s="5" t="s">
        <v>27</v>
      </c>
      <c r="D2" s="5" t="s">
        <v>28</v>
      </c>
      <c r="E2" s="5" t="s">
        <v>34</v>
      </c>
      <c r="F2" s="5" t="s">
        <v>35</v>
      </c>
      <c r="G2" s="5" t="s">
        <v>36</v>
      </c>
      <c r="H2" s="5" t="s">
        <v>37</v>
      </c>
    </row>
    <row r="3" spans="1:8" x14ac:dyDescent="0.3">
      <c r="A3" s="18" t="s">
        <v>38</v>
      </c>
      <c r="B3" s="13">
        <v>54</v>
      </c>
      <c r="C3" s="12">
        <v>46491589</v>
      </c>
      <c r="D3" s="12">
        <v>64178538</v>
      </c>
      <c r="E3" s="29">
        <f>(D3-C3)/C3</f>
        <v>0.38043330805492581</v>
      </c>
      <c r="F3" s="30">
        <f t="shared" ref="F3:G6" si="0">C3*22</f>
        <v>1022814958</v>
      </c>
      <c r="G3" s="30">
        <f t="shared" si="0"/>
        <v>1411927836</v>
      </c>
      <c r="H3" s="31">
        <f>G3-F3</f>
        <v>389112878</v>
      </c>
    </row>
    <row r="4" spans="1:8" x14ac:dyDescent="0.3">
      <c r="A4" s="20" t="s">
        <v>39</v>
      </c>
      <c r="B4" s="21">
        <v>212</v>
      </c>
      <c r="C4" s="16">
        <v>4191330</v>
      </c>
      <c r="D4" s="16">
        <v>5954800</v>
      </c>
      <c r="E4" s="29">
        <f>(D4-C4)/C4</f>
        <v>0.42074234192965004</v>
      </c>
      <c r="F4" s="30">
        <f t="shared" si="0"/>
        <v>92209260</v>
      </c>
      <c r="G4" s="30">
        <f t="shared" si="0"/>
        <v>131005600</v>
      </c>
      <c r="H4" s="31">
        <f>G4-F4</f>
        <v>38796340</v>
      </c>
    </row>
    <row r="5" spans="1:8" x14ac:dyDescent="0.3">
      <c r="A5" s="18" t="s">
        <v>40</v>
      </c>
      <c r="B5" s="13">
        <v>265</v>
      </c>
      <c r="C5" s="12">
        <v>1216563</v>
      </c>
      <c r="D5" s="12">
        <v>1793124</v>
      </c>
      <c r="E5" s="29">
        <f>(D5-C5)/C5</f>
        <v>0.47392613452817489</v>
      </c>
      <c r="F5" s="30">
        <f t="shared" si="0"/>
        <v>26764386</v>
      </c>
      <c r="G5" s="30">
        <f t="shared" si="0"/>
        <v>39448728</v>
      </c>
      <c r="H5" s="31">
        <f>G5-F5</f>
        <v>12684342</v>
      </c>
    </row>
    <row r="6" spans="1:8" x14ac:dyDescent="0.3">
      <c r="A6" s="20" t="s">
        <v>41</v>
      </c>
      <c r="B6" s="21">
        <v>530</v>
      </c>
      <c r="C6" s="16">
        <v>923632</v>
      </c>
      <c r="D6" s="16">
        <v>1549228</v>
      </c>
      <c r="E6" s="29">
        <f>(D6-C6)/C6</f>
        <v>0.67732170388206558</v>
      </c>
      <c r="F6" s="30">
        <f t="shared" si="0"/>
        <v>20319904</v>
      </c>
      <c r="G6" s="30">
        <f t="shared" si="0"/>
        <v>34083016</v>
      </c>
      <c r="H6" s="31">
        <f>G6-F6</f>
        <v>13763112</v>
      </c>
    </row>
    <row r="7" spans="1:8" x14ac:dyDescent="0.3">
      <c r="A7" s="32" t="s">
        <v>42</v>
      </c>
      <c r="B7" s="33">
        <f>SUM(B3:B6)</f>
        <v>1061</v>
      </c>
      <c r="C7" s="33">
        <f>SUM(C3:C6)</f>
        <v>52823114</v>
      </c>
      <c r="D7" s="33">
        <f>SUM(D3:D6)</f>
        <v>73475690</v>
      </c>
      <c r="E7" s="34">
        <f>(D7-C7)/C7</f>
        <v>0.39097611700817186</v>
      </c>
      <c r="F7" s="35">
        <f>SUM(F3:F6)</f>
        <v>1162108508</v>
      </c>
      <c r="G7" s="35">
        <f>SUM(G3:G6)</f>
        <v>1616465180</v>
      </c>
      <c r="H7" s="35">
        <f>SUM(H3:H6)</f>
        <v>454356672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tabSelected="1" zoomScaleNormal="100" workbookViewId="0">
      <selection sqref="A1:F1"/>
    </sheetView>
  </sheetViews>
  <sheetFormatPr defaultColWidth="8.6640625" defaultRowHeight="14.4" x14ac:dyDescent="0.3"/>
  <cols>
    <col min="1" max="1" width="16" customWidth="1"/>
    <col min="2" max="2" width="14" customWidth="1"/>
    <col min="3" max="3" width="16" customWidth="1"/>
    <col min="4" max="5" width="14" customWidth="1"/>
    <col min="6" max="6" width="12" customWidth="1"/>
  </cols>
  <sheetData>
    <row r="1" spans="1:6" ht="27.75" customHeight="1" x14ac:dyDescent="0.3">
      <c r="A1" s="1" t="s">
        <v>43</v>
      </c>
      <c r="B1" s="1"/>
      <c r="C1" s="1"/>
      <c r="D1" s="1"/>
      <c r="E1" s="1"/>
      <c r="F1" s="1"/>
    </row>
    <row r="2" spans="1:6" ht="21.75" customHeight="1" x14ac:dyDescent="0.3">
      <c r="A2" s="5" t="s">
        <v>32</v>
      </c>
      <c r="B2" s="36" t="s">
        <v>44</v>
      </c>
      <c r="C2" s="37" t="s">
        <v>45</v>
      </c>
      <c r="D2" s="38" t="s">
        <v>46</v>
      </c>
      <c r="E2" s="39" t="s">
        <v>47</v>
      </c>
      <c r="F2" s="40" t="s">
        <v>48</v>
      </c>
    </row>
    <row r="3" spans="1:6" x14ac:dyDescent="0.3">
      <c r="A3" s="18" t="s">
        <v>38</v>
      </c>
      <c r="B3" s="41">
        <v>0</v>
      </c>
      <c r="C3" s="42">
        <v>0.62960000000000005</v>
      </c>
      <c r="D3" s="41">
        <v>0.12959999999999999</v>
      </c>
      <c r="E3" s="41">
        <v>0.2407</v>
      </c>
      <c r="F3" s="41">
        <v>0</v>
      </c>
    </row>
    <row r="4" spans="1:6" x14ac:dyDescent="0.3">
      <c r="A4" s="20" t="s">
        <v>39</v>
      </c>
      <c r="B4" s="43">
        <v>0</v>
      </c>
      <c r="C4" s="44">
        <v>0.52829999999999999</v>
      </c>
      <c r="D4" s="43">
        <v>8.4900000000000003E-2</v>
      </c>
      <c r="E4" s="43">
        <v>0.36320000000000002</v>
      </c>
      <c r="F4" s="43">
        <v>2.3599999999999999E-2</v>
      </c>
    </row>
    <row r="5" spans="1:6" x14ac:dyDescent="0.3">
      <c r="A5" s="18" t="s">
        <v>40</v>
      </c>
      <c r="B5" s="41">
        <v>0</v>
      </c>
      <c r="C5" s="42">
        <v>0.57740000000000002</v>
      </c>
      <c r="D5" s="41">
        <v>4.53E-2</v>
      </c>
      <c r="E5" s="41">
        <v>0.34339999999999998</v>
      </c>
      <c r="F5" s="41">
        <v>3.4000000000000002E-2</v>
      </c>
    </row>
    <row r="6" spans="1:6" x14ac:dyDescent="0.3">
      <c r="A6" s="20" t="s">
        <v>41</v>
      </c>
      <c r="B6" s="43">
        <v>0</v>
      </c>
      <c r="C6" s="44">
        <v>0.56230000000000002</v>
      </c>
      <c r="D6" s="43">
        <v>7.17E-2</v>
      </c>
      <c r="E6" s="43">
        <v>0.33579999999999999</v>
      </c>
      <c r="F6" s="43">
        <v>3.0200000000000001E-2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Weekly Analysis</vt:lpstr>
      <vt:lpstr>Customer Group Analysis</vt:lpstr>
      <vt:lpstr>Customer Status 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Murali, Sudharsan</cp:lastModifiedBy>
  <cp:revision>1</cp:revision>
  <dcterms:created xsi:type="dcterms:W3CDTF">2026-04-19T22:54:44Z</dcterms:created>
  <dcterms:modified xsi:type="dcterms:W3CDTF">2026-04-19T23:01:28Z</dcterms:modified>
  <dc:language>en-US</dc:language>
</cp:coreProperties>
</file>